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Cockpit" sheetId="1" state="visible" r:id="rId1"/>
    <sheet xmlns:r="http://schemas.openxmlformats.org/officeDocument/2006/relationships" name="WIP Aging" sheetId="2" state="visible" r:id="rId2"/>
    <sheet xmlns:r="http://schemas.openxmlformats.org/officeDocument/2006/relationships" name="Utilization" sheetId="3" state="visible" r:id="rId3"/>
    <sheet xmlns:r="http://schemas.openxmlformats.org/officeDocument/2006/relationships" name="Cashflow 13W" sheetId="4" state="visible" r:id="rId4"/>
    <sheet xmlns:r="http://schemas.openxmlformats.org/officeDocument/2006/relationships" name="Pricing" sheetId="5" state="visible" r:id="rId5"/>
    <sheet xmlns:r="http://schemas.openxmlformats.org/officeDocument/2006/relationships" name="Pipelin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Executive Cockpit Ist vs Ziel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Cockpit'!C1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Cockpit'!$B$2:$B$9</f>
            </numRef>
          </cat>
          <val>
            <numRef>
              <f>'Executive Cockpit'!$C$2:$C$9</f>
            </numRef>
          </val>
        </ser>
        <ser>
          <idx val="1"/>
          <order val="1"/>
          <tx>
            <strRef>
              <f>'Executive Cockpit'!D1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Cockpit'!$B$2:$B$9</f>
            </numRef>
          </cat>
          <val>
            <numRef>
              <f>'Executive Cockpit'!$D$2:$D$9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5" customWidth="1" min="3" max="3"/>
    <col width="15" customWidth="1" min="4" max="4"/>
    <col width="12" customWidth="1" min="5" max="5"/>
    <col width="24" customWidth="1" min="6" max="6"/>
    <col width="45" customWidth="1" min="7" max="7"/>
  </cols>
  <sheetData>
    <row r="1">
      <c r="A1" s="1" t="inlineStr">
        <is>
          <t>Bereich</t>
        </is>
      </c>
      <c r="B1" s="1" t="inlineStr">
        <is>
          <t>Kennzahl</t>
        </is>
      </c>
      <c r="C1" s="1" t="inlineStr">
        <is>
          <t>Ist Q2</t>
        </is>
      </c>
      <c r="D1" s="1" t="inlineStr">
        <is>
          <t>Ziel</t>
        </is>
      </c>
      <c r="E1" s="1" t="inlineStr">
        <is>
          <t>Ampel</t>
        </is>
      </c>
      <c r="F1" s="1" t="inlineStr">
        <is>
          <t>Owner</t>
        </is>
      </c>
      <c r="G1" s="1" t="inlineStr">
        <is>
          <t>Maßnahme</t>
        </is>
      </c>
    </row>
    <row r="2">
      <c r="A2" s="2" t="inlineStr">
        <is>
          <t>Cash</t>
        </is>
      </c>
      <c r="B2" s="2" t="inlineStr">
        <is>
          <t>Cash Bestand EUR</t>
        </is>
      </c>
      <c r="C2" s="2" t="n">
        <v>1180000</v>
      </c>
      <c r="D2" s="2" t="n">
        <v>1800000</v>
      </c>
      <c r="E2" s="3" t="inlineStr">
        <is>
          <t>Gelb</t>
        </is>
      </c>
      <c r="F2" s="2" t="inlineStr">
        <is>
          <t>CFO</t>
        </is>
      </c>
      <c r="G2" s="2" t="inlineStr">
        <is>
          <t>Rechnungswelle bis 12.07.</t>
        </is>
      </c>
    </row>
    <row r="3">
      <c r="A3" s="2" t="inlineStr">
        <is>
          <t>WIP</t>
        </is>
      </c>
      <c r="B3" s="2" t="inlineStr">
        <is>
          <t>WIP &gt; 120 Tage EUR</t>
        </is>
      </c>
      <c r="C3" s="2" t="n">
        <v>1340000</v>
      </c>
      <c r="D3" s="2" t="n">
        <v>500000</v>
      </c>
      <c r="E3" s="4" t="inlineStr">
        <is>
          <t>Rot</t>
        </is>
      </c>
      <c r="F3" s="2" t="inlineStr">
        <is>
          <t>MC</t>
        </is>
      </c>
      <c r="G3" s="2" t="inlineStr">
        <is>
          <t>Partnergespräche + Abrechnung</t>
        </is>
      </c>
    </row>
    <row r="4">
      <c r="A4" s="2" t="inlineStr">
        <is>
          <t>AR</t>
        </is>
      </c>
      <c r="B4" s="2" t="inlineStr">
        <is>
          <t>Offene Posten &gt; 60 Tage EUR</t>
        </is>
      </c>
      <c r="C4" s="2" t="n">
        <v>865000</v>
      </c>
      <c r="D4" s="2" t="n">
        <v>300000</v>
      </c>
      <c r="E4" s="4" t="inlineStr">
        <is>
          <t>Rot</t>
        </is>
      </c>
      <c r="F4" s="2" t="inlineStr">
        <is>
          <t>Finance</t>
        </is>
      </c>
      <c r="G4" s="2" t="inlineStr">
        <is>
          <t>Top-20-Collections-Liste</t>
        </is>
      </c>
    </row>
    <row r="5">
      <c r="A5" s="2" t="inlineStr">
        <is>
          <t>Utilization</t>
        </is>
      </c>
      <c r="B5" s="2" t="inlineStr">
        <is>
          <t>Associate Ø %</t>
        </is>
      </c>
      <c r="C5" s="2" t="n">
        <v>89</v>
      </c>
      <c r="D5" s="2" t="n">
        <v>82</v>
      </c>
      <c r="E5" s="3" t="inlineStr">
        <is>
          <t>Gelb</t>
        </is>
      </c>
      <c r="F5" s="2" t="inlineStr">
        <is>
          <t>HR/PG-Leads</t>
        </is>
      </c>
      <c r="G5" s="2" t="inlineStr">
        <is>
          <t>Überlastspitzen abbauen</t>
        </is>
      </c>
    </row>
    <row r="6">
      <c r="A6" s="2" t="inlineStr">
        <is>
          <t>UBT</t>
        </is>
      </c>
      <c r="B6" s="2" t="inlineStr">
        <is>
          <t>Umsatz je Berufsträger EUR</t>
        </is>
      </c>
      <c r="C6" s="2" t="n">
        <v>129500</v>
      </c>
      <c r="D6" s="2" t="n">
        <v>135000</v>
      </c>
      <c r="E6" s="3" t="inlineStr">
        <is>
          <t>Gelb</t>
        </is>
      </c>
      <c r="F6" s="2" t="inlineStr">
        <is>
          <t>Managing Partner</t>
        </is>
      </c>
      <c r="G6" s="2" t="inlineStr">
        <is>
          <t>Pricing und Matter Mix prüfen</t>
        </is>
      </c>
    </row>
    <row r="7">
      <c r="A7" s="2" t="inlineStr">
        <is>
          <t>Realization</t>
        </is>
      </c>
      <c r="B7" s="2" t="inlineStr">
        <is>
          <t>Corporate Realization %</t>
        </is>
      </c>
      <c r="C7" s="2" t="n">
        <v>82</v>
      </c>
      <c r="D7" s="2" t="n">
        <v>92</v>
      </c>
      <c r="E7" s="4" t="inlineStr">
        <is>
          <t>Rot</t>
        </is>
      </c>
      <c r="F7" s="2" t="inlineStr">
        <is>
          <t>Corporate Lead</t>
        </is>
      </c>
      <c r="G7" s="2" t="inlineStr">
        <is>
          <t>Rabattfreigaben restriktiver</t>
        </is>
      </c>
    </row>
    <row r="8">
      <c r="A8" s="2" t="inlineStr">
        <is>
          <t>People</t>
        </is>
      </c>
      <c r="B8" s="2" t="inlineStr">
        <is>
          <t>Associates Risiko hoch</t>
        </is>
      </c>
      <c r="C8" s="2" t="n">
        <v>2</v>
      </c>
      <c r="D8" s="2" t="n">
        <v>0</v>
      </c>
      <c r="E8" s="4" t="inlineStr">
        <is>
          <t>Rot</t>
        </is>
      </c>
      <c r="F8" s="2" t="inlineStr">
        <is>
          <t>HR Partnerin</t>
        </is>
      </c>
      <c r="G8" s="2" t="inlineStr">
        <is>
          <t>Stay Interviews</t>
        </is>
      </c>
    </row>
    <row r="9">
      <c r="A9" s="2" t="inlineStr">
        <is>
          <t>Pipeline</t>
        </is>
      </c>
      <c r="B9" s="2" t="inlineStr">
        <is>
          <t>Weighted Pipeline 90T EUR</t>
        </is>
      </c>
      <c r="C9" s="2" t="n">
        <v>2100000</v>
      </c>
      <c r="D9" s="2" t="n">
        <v>2500000</v>
      </c>
      <c r="E9" s="3" t="inlineStr">
        <is>
          <t>Gelb</t>
        </is>
      </c>
      <c r="F9" s="2" t="inlineStr">
        <is>
          <t>BD</t>
        </is>
      </c>
      <c r="G9" s="2" t="inlineStr">
        <is>
          <t>Key-Account-Plan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24" customWidth="1" min="6" max="6"/>
  </cols>
  <sheetData>
    <row r="1">
      <c r="A1" s="5" t="inlineStr">
        <is>
          <t>Partner</t>
        </is>
      </c>
      <c r="B1" s="5" t="inlineStr">
        <is>
          <t>0-30</t>
        </is>
      </c>
      <c r="C1" s="5" t="inlineStr">
        <is>
          <t>31-60</t>
        </is>
      </c>
      <c r="D1" s="5" t="inlineStr">
        <is>
          <t>61-120</t>
        </is>
      </c>
      <c r="E1" s="5" t="inlineStr">
        <is>
          <t>&gt;120</t>
        </is>
      </c>
      <c r="F1" s="5" t="inlineStr">
        <is>
          <t>Aktion</t>
        </is>
      </c>
    </row>
    <row r="2">
      <c r="A2" t="inlineStr">
        <is>
          <t>Dr. Hohenlohe</t>
        </is>
      </c>
      <c r="B2" t="n">
        <v>120000</v>
      </c>
      <c r="C2" t="n">
        <v>180000</v>
      </c>
      <c r="D2" t="n">
        <v>240000</v>
      </c>
      <c r="E2" t="n">
        <v>410000</v>
      </c>
      <c r="F2" t="inlineStr">
        <is>
          <t>Abrechnen + Scope Call</t>
        </is>
      </c>
    </row>
    <row r="3">
      <c r="A3" t="inlineStr">
        <is>
          <t>Dr. Rabenau</t>
        </is>
      </c>
      <c r="B3" t="n">
        <v>90000</v>
      </c>
      <c r="C3" t="n">
        <v>140000</v>
      </c>
      <c r="D3" t="n">
        <v>210000</v>
      </c>
      <c r="E3" t="n">
        <v>220000</v>
      </c>
      <c r="F3" t="inlineStr">
        <is>
          <t>Partnergespräch</t>
        </is>
      </c>
    </row>
    <row r="4">
      <c r="A4" t="inlineStr">
        <is>
          <t>Dr. Velten</t>
        </is>
      </c>
      <c r="B4" t="n">
        <v>60000</v>
      </c>
      <c r="C4" t="n">
        <v>85000</v>
      </c>
      <c r="D4" t="n">
        <v>140000</v>
      </c>
      <c r="E4" t="n">
        <v>80000</v>
      </c>
      <c r="F4" t="inlineStr">
        <is>
          <t>OK</t>
        </is>
      </c>
    </row>
    <row r="5">
      <c r="A5" t="inlineStr">
        <is>
          <t>Dr. Falkenried</t>
        </is>
      </c>
      <c r="B5" t="n">
        <v>150000</v>
      </c>
      <c r="C5" t="n">
        <v>100000</v>
      </c>
      <c r="D5" t="n">
        <v>60000</v>
      </c>
      <c r="E5" t="n">
        <v>0</v>
      </c>
      <c r="F5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5" t="inlineStr">
        <is>
          <t>Name</t>
        </is>
      </c>
      <c r="B1" s="5" t="inlineStr">
        <is>
          <t>Rolle</t>
        </is>
      </c>
      <c r="C1" s="5" t="inlineStr">
        <is>
          <t>FTE</t>
        </is>
      </c>
      <c r="D1" s="5" t="inlineStr">
        <is>
          <t>Billable h Q2</t>
        </is>
      </c>
      <c r="E1" s="5" t="inlineStr">
        <is>
          <t>Soll h</t>
        </is>
      </c>
      <c r="F1" s="5" t="inlineStr">
        <is>
          <t>Utilization %</t>
        </is>
      </c>
      <c r="G1" s="5" t="inlineStr">
        <is>
          <t>Risiko</t>
        </is>
      </c>
    </row>
    <row r="2">
      <c r="A2" t="inlineStr">
        <is>
          <t>Amalie Winter</t>
        </is>
      </c>
      <c r="B2" t="inlineStr">
        <is>
          <t>Associate</t>
        </is>
      </c>
      <c r="C2" t="n">
        <v>1</v>
      </c>
      <c r="D2" t="n">
        <v>512</v>
      </c>
      <c r="E2" t="n">
        <v>420</v>
      </c>
      <c r="F2" t="n">
        <v>122</v>
      </c>
      <c r="G2" t="inlineStr">
        <is>
          <t>hoch</t>
        </is>
      </c>
    </row>
    <row r="3">
      <c r="A3" t="inlineStr">
        <is>
          <t>Konrad Bleibtreu</t>
        </is>
      </c>
      <c r="B3" t="inlineStr">
        <is>
          <t>Associate</t>
        </is>
      </c>
      <c r="C3" t="n">
        <v>1</v>
      </c>
      <c r="D3" t="n">
        <v>491</v>
      </c>
      <c r="E3" t="n">
        <v>420</v>
      </c>
      <c r="F3" t="n">
        <v>117</v>
      </c>
      <c r="G3" t="inlineStr">
        <is>
          <t>hoch</t>
        </is>
      </c>
    </row>
    <row r="4">
      <c r="A4" t="inlineStr">
        <is>
          <t>Silke Merten</t>
        </is>
      </c>
      <c r="B4" t="inlineStr">
        <is>
          <t>Counsel</t>
        </is>
      </c>
      <c r="C4" t="n">
        <v>0.8</v>
      </c>
      <c r="D4" t="n">
        <v>338</v>
      </c>
      <c r="E4" t="n">
        <v>336</v>
      </c>
      <c r="F4" t="n">
        <v>101</v>
      </c>
      <c r="G4" t="inlineStr">
        <is>
          <t>mittel</t>
        </is>
      </c>
    </row>
    <row r="5">
      <c r="A5" t="inlineStr">
        <is>
          <t>Jana Ritter</t>
        </is>
      </c>
      <c r="B5" t="inlineStr">
        <is>
          <t>Associate</t>
        </is>
      </c>
      <c r="C5" t="n">
        <v>0.8</v>
      </c>
      <c r="D5" t="n">
        <v>260</v>
      </c>
      <c r="E5" t="n">
        <v>336</v>
      </c>
      <c r="F5" t="n">
        <v>77</v>
      </c>
      <c r="G5" t="inlineStr">
        <is>
          <t>niedrig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</cols>
  <sheetData>
    <row r="1">
      <c r="A1" s="5" t="inlineStr">
        <is>
          <t>Woche</t>
        </is>
      </c>
      <c r="B1" s="5" t="inlineStr">
        <is>
          <t>Eingänge</t>
        </is>
      </c>
      <c r="C1" s="5" t="inlineStr">
        <is>
          <t>Ausgänge</t>
        </is>
      </c>
      <c r="D1" s="5" t="inlineStr">
        <is>
          <t>Saldo kumuliert</t>
        </is>
      </c>
    </row>
    <row r="2">
      <c r="A2" t="inlineStr">
        <is>
          <t>KW27</t>
        </is>
      </c>
      <c r="B2" t="n">
        <v>420000</v>
      </c>
      <c r="C2" t="n">
        <v>610000</v>
      </c>
      <c r="D2" t="n">
        <v>990000</v>
      </c>
    </row>
    <row r="3">
      <c r="A3" t="inlineStr">
        <is>
          <t>KW28</t>
        </is>
      </c>
      <c r="B3" t="n">
        <v>890000</v>
      </c>
      <c r="C3" t="n">
        <v>540000</v>
      </c>
      <c r="D3" t="n">
        <v>1340000</v>
      </c>
    </row>
    <row r="4">
      <c r="A4" t="inlineStr">
        <is>
          <t>KW29</t>
        </is>
      </c>
      <c r="B4" t="n">
        <v>310000</v>
      </c>
      <c r="C4" t="n">
        <v>520000</v>
      </c>
      <c r="D4" t="n">
        <v>1130000</v>
      </c>
    </row>
    <row r="5">
      <c r="A5" t="inlineStr">
        <is>
          <t>KW30</t>
        </is>
      </c>
      <c r="B5" t="n">
        <v>260000</v>
      </c>
      <c r="C5" t="n">
        <v>690000</v>
      </c>
      <c r="D5" t="n">
        <v>700000</v>
      </c>
    </row>
    <row r="6">
      <c r="A6" t="inlineStr">
        <is>
          <t>KW31</t>
        </is>
      </c>
      <c r="B6" t="n">
        <v>760000</v>
      </c>
      <c r="C6" t="n">
        <v>530000</v>
      </c>
      <c r="D6" t="n">
        <v>930000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2" customWidth="1" min="4" max="4"/>
    <col width="13" customWidth="1" min="5" max="5"/>
    <col width="23" customWidth="1" min="6" max="6"/>
  </cols>
  <sheetData>
    <row r="1">
      <c r="A1" s="5" t="inlineStr">
        <is>
          <t>Mandat</t>
        </is>
      </c>
      <c r="B1" s="5" t="inlineStr">
        <is>
          <t>Modell</t>
        </is>
      </c>
      <c r="C1" s="5" t="inlineStr">
        <is>
          <t>Budget</t>
        </is>
      </c>
      <c r="D1" s="5" t="inlineStr">
        <is>
          <t>Ist WIP</t>
        </is>
      </c>
      <c r="E1" s="5" t="inlineStr">
        <is>
          <t>Realization</t>
        </is>
      </c>
      <c r="F1" s="5" t="inlineStr">
        <is>
          <t>Problem</t>
        </is>
      </c>
    </row>
    <row r="2">
      <c r="A2" t="inlineStr">
        <is>
          <t>Automotive Compliance</t>
        </is>
      </c>
      <c r="B2" t="inlineStr">
        <is>
          <t>Cap + Discount</t>
        </is>
      </c>
      <c r="C2" t="n">
        <v>420000</v>
      </c>
      <c r="D2" t="n">
        <v>510000</v>
      </c>
      <c r="E2" t="n">
        <v>0.78</v>
      </c>
      <c r="F2" t="inlineStr">
        <is>
          <t>Scope creep</t>
        </is>
      </c>
    </row>
    <row r="3">
      <c r="A3" t="inlineStr">
        <is>
          <t>PE Add-on</t>
        </is>
      </c>
      <c r="B3" t="inlineStr">
        <is>
          <t>Hourly</t>
        </is>
      </c>
      <c r="C3" t="n">
        <v>280000</v>
      </c>
      <c r="D3" t="n">
        <v>220000</v>
      </c>
      <c r="E3" t="n">
        <v>0.96</v>
      </c>
      <c r="F3" t="inlineStr">
        <is>
          <t>OK</t>
        </is>
      </c>
    </row>
    <row r="4">
      <c r="A4" t="inlineStr">
        <is>
          <t>Arbeitsrecht Dauerberatung</t>
        </is>
      </c>
      <c r="B4" t="inlineStr">
        <is>
          <t>Retainer</t>
        </is>
      </c>
      <c r="C4" t="n">
        <v>90000</v>
      </c>
      <c r="D4" t="n">
        <v>118000</v>
      </c>
      <c r="E4" t="n">
        <v>0.8100000000000001</v>
      </c>
      <c r="F4" t="inlineStr">
        <is>
          <t>Kontingent zu niedrig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20" customWidth="1" min="3" max="3"/>
    <col width="15" customWidth="1" min="4" max="4"/>
    <col width="16" customWidth="1" min="5" max="5"/>
  </cols>
  <sheetData>
    <row r="1">
      <c r="A1" s="5" t="inlineStr">
        <is>
          <t>Lead</t>
        </is>
      </c>
      <c r="B1" s="5" t="inlineStr">
        <is>
          <t>Praxis</t>
        </is>
      </c>
      <c r="C1" s="5" t="inlineStr">
        <is>
          <t>Wahrscheinlichkeit</t>
        </is>
      </c>
      <c r="D1" s="5" t="inlineStr">
        <is>
          <t>Expected Fees</t>
        </is>
      </c>
      <c r="E1" s="5" t="inlineStr">
        <is>
          <t>Owner</t>
        </is>
      </c>
    </row>
    <row r="2">
      <c r="A2" t="inlineStr">
        <is>
          <t>Nordstern MedTech</t>
        </is>
      </c>
      <c r="B2" t="inlineStr">
        <is>
          <t>Corporate</t>
        </is>
      </c>
      <c r="C2" t="n">
        <v>0.55</v>
      </c>
      <c r="D2" t="n">
        <v>650000</v>
      </c>
      <c r="E2" t="inlineStr">
        <is>
          <t>Dr. Falkenried</t>
        </is>
      </c>
    </row>
    <row r="3">
      <c r="A3" t="inlineStr">
        <is>
          <t>Rheinlogistik</t>
        </is>
      </c>
      <c r="B3" t="inlineStr">
        <is>
          <t>Arbeitsrecht</t>
        </is>
      </c>
      <c r="C3" t="n">
        <v>0.75</v>
      </c>
      <c r="D3" t="n">
        <v>240000</v>
      </c>
      <c r="E3" t="inlineStr">
        <is>
          <t>Dr. Merten</t>
        </is>
      </c>
    </row>
    <row r="4">
      <c r="A4" t="inlineStr">
        <is>
          <t>Quantor Cloud</t>
        </is>
      </c>
      <c r="B4" t="inlineStr">
        <is>
          <t>IT/Data</t>
        </is>
      </c>
      <c r="C4" t="n">
        <v>0.45</v>
      </c>
      <c r="D4" t="n">
        <v>380000</v>
      </c>
      <c r="E4" t="inlineStr">
        <is>
          <t>Dr. Velten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2026-06-03T18:36:30Z</dcterms:created>
  <dcterms:modified xmlns:dcterms="http://purl.org/dc/terms/" xmlns:xsi="http://www.w3.org/2001/XMLSchema-instance" xsi:type="dcterms:W3CDTF">2026-06-03T18:36:30Z</dcterms:modified>
</cp:coreProperties>
</file>